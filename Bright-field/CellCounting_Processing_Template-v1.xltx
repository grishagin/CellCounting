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grishagin\CellCounting\"/>
    </mc:Choice>
  </mc:AlternateContent>
  <bookViews>
    <workbookView xWindow="360" yWindow="120" windowWidth="16152" windowHeight="12528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G14" i="1" l="1"/>
  <c r="G13" i="1"/>
  <c r="J6" i="1"/>
  <c r="G18" i="1" s="1"/>
  <c r="D18" i="1" l="1"/>
</calcChain>
</file>

<file path=xl/sharedStrings.xml><?xml version="1.0" encoding="utf-8"?>
<sst xmlns="http://schemas.openxmlformats.org/spreadsheetml/2006/main" count="21" uniqueCount="17">
  <si>
    <t>CCM1</t>
  </si>
  <si>
    <t xml:space="preserve"> </t>
  </si>
  <si>
    <t>Label</t>
  </si>
  <si>
    <t>Count</t>
  </si>
  <si>
    <t>Mean</t>
  </si>
  <si>
    <t>SD</t>
  </si>
  <si>
    <t>Min</t>
  </si>
  <si>
    <t>Max</t>
  </si>
  <si>
    <t>CCM2</t>
  </si>
  <si>
    <t>Square Size</t>
  </si>
  <si>
    <t>H</t>
  </si>
  <si>
    <t>W</t>
  </si>
  <si>
    <t>Picture Size</t>
  </si>
  <si>
    <t>Cells per ml</t>
  </si>
  <si>
    <t>Factor</t>
  </si>
  <si>
    <t>Dilution</t>
  </si>
  <si>
    <t>PASTE YOUR DATA INTO GRAY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</si>
</sst>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</font>
    <font>
      <sz val="14"/>
      <name val="Arial"/>
    </font>
    <font>
      <b/>
      <sz val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0" borderId="4" xfId="0" applyBorder="1"/>
    <xf numFmtId="0" fontId="0" fillId="0" borderId="5" xfId="0" applyFill="1" applyBorder="1"/>
    <xf numFmtId="3" fontId="2" fillId="0" borderId="6" xfId="0" applyNumberFormat="1" applyFont="1" applyBorder="1"/>
    <xf numFmtId="0" fontId="0" fillId="0" borderId="7" xfId="0" applyBorder="1"/>
    <xf numFmtId="0" fontId="0" fillId="2" borderId="3" xfId="0" applyFill="1" applyBorder="1"/>
    <xf numFmtId="0" fontId="0" fillId="2" borderId="0" xfId="0" applyFill="1" applyBorder="1"/>
    <xf numFmtId="0" fontId="0" fillId="0" borderId="0" xfId="0" applyBorder="1"/>
    <xf numFmtId="0" fontId="0" fillId="0" borderId="5" xfId="0" applyBorder="1"/>
    <xf numFmtId="0" fontId="0" fillId="0" borderId="8" xfId="0" applyFill="1" applyBorder="1"/>
    <xf numFmtId="0" fontId="3" fillId="0" borderId="0" xfId="0" applyFont="1"/>
    <xf numFmtId="1" fontId="0" fillId="2" borderId="4" xfId="0" applyNumberFormat="1" applyFill="1" applyBorder="1"/>
    <xf numFmtId="1" fontId="0" fillId="0" borderId="4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8"/>
  <sheetViews>
    <sheetView tabSelected="1" workbookViewId="0">
      <selection activeCell="G19" sqref="G19"/>
    </sheetView>
  </sheetViews>
  <sheetFormatPr defaultRowHeight="13.2" x14ac:dyDescent="0.25"/>
  <cols>
    <col min="3" max="3" width="10.88671875" bestFit="1" customWidth="1"/>
    <col min="4" max="4" width="13.88671875" bestFit="1" customWidth="1"/>
    <col min="6" max="6" width="10.88671875" bestFit="1" customWidth="1"/>
    <col min="7" max="7" width="13.88671875" bestFit="1" customWidth="1"/>
    <col min="10" max="11" width="11.109375" bestFit="1" customWidth="1"/>
  </cols>
  <sheetData>
    <row r="1" spans="1:11" x14ac:dyDescent="0.25">
      <c r="A1" s="15" t="s">
        <v>16</v>
      </c>
    </row>
    <row r="2" spans="1:11" ht="13.8" thickBot="1" x14ac:dyDescent="0.3"/>
    <row r="3" spans="1:11" x14ac:dyDescent="0.25">
      <c r="B3" s="2" t="s">
        <v>0</v>
      </c>
      <c r="C3" s="9"/>
      <c r="D3" s="3"/>
      <c r="F3" s="2" t="s">
        <v>8</v>
      </c>
      <c r="G3" s="3"/>
      <c r="J3" t="s">
        <v>9</v>
      </c>
      <c r="K3" t="s">
        <v>12</v>
      </c>
    </row>
    <row r="4" spans="1:11" x14ac:dyDescent="0.25">
      <c r="B4" s="10" t="s">
        <v>1</v>
      </c>
      <c r="C4" s="11" t="s">
        <v>2</v>
      </c>
      <c r="D4" s="5" t="s">
        <v>3</v>
      </c>
      <c r="F4" s="4"/>
      <c r="G4" s="5" t="s">
        <v>3</v>
      </c>
      <c r="I4" t="s">
        <v>10</v>
      </c>
      <c r="J4" s="1">
        <v>790</v>
      </c>
      <c r="K4" s="1">
        <v>960</v>
      </c>
    </row>
    <row r="5" spans="1:11" x14ac:dyDescent="0.25">
      <c r="B5" s="10">
        <v>1</v>
      </c>
      <c r="C5" s="11"/>
      <c r="D5" s="5">
        <v>208</v>
      </c>
      <c r="F5" s="4"/>
      <c r="G5" s="16">
        <v>216</v>
      </c>
      <c r="I5" t="s">
        <v>11</v>
      </c>
      <c r="J5" s="1">
        <v>790</v>
      </c>
      <c r="K5" s="1">
        <v>1280</v>
      </c>
    </row>
    <row r="6" spans="1:11" x14ac:dyDescent="0.25">
      <c r="B6" s="10">
        <v>2</v>
      </c>
      <c r="C6" s="11"/>
      <c r="D6" s="5">
        <v>205</v>
      </c>
      <c r="F6" s="4"/>
      <c r="G6" s="16">
        <v>222</v>
      </c>
      <c r="I6" t="s">
        <v>14</v>
      </c>
      <c r="J6">
        <f>J4*J5/(K4*K5)</f>
        <v>0.50789388020833337</v>
      </c>
    </row>
    <row r="7" spans="1:11" x14ac:dyDescent="0.25">
      <c r="B7" s="10">
        <v>3</v>
      </c>
      <c r="C7" s="11"/>
      <c r="D7" s="5">
        <v>302</v>
      </c>
      <c r="F7" s="4"/>
      <c r="G7" s="16">
        <v>315</v>
      </c>
    </row>
    <row r="8" spans="1:11" x14ac:dyDescent="0.25">
      <c r="B8" s="10">
        <v>4</v>
      </c>
      <c r="C8" s="11"/>
      <c r="D8" s="5">
        <v>315</v>
      </c>
      <c r="F8" s="4"/>
      <c r="G8" s="16">
        <v>338</v>
      </c>
      <c r="J8" t="s">
        <v>15</v>
      </c>
    </row>
    <row r="9" spans="1:11" x14ac:dyDescent="0.25">
      <c r="B9" s="10">
        <v>5</v>
      </c>
      <c r="C9" s="11"/>
      <c r="D9" s="5">
        <v>333</v>
      </c>
      <c r="F9" s="4"/>
      <c r="G9" s="16">
        <v>336</v>
      </c>
      <c r="J9" s="1">
        <v>2</v>
      </c>
    </row>
    <row r="10" spans="1:11" x14ac:dyDescent="0.25">
      <c r="B10" s="10">
        <v>6</v>
      </c>
      <c r="C10" s="11"/>
      <c r="D10" s="5">
        <v>289</v>
      </c>
      <c r="F10" s="4"/>
      <c r="G10" s="16">
        <v>298</v>
      </c>
    </row>
    <row r="11" spans="1:11" x14ac:dyDescent="0.25">
      <c r="B11" s="10">
        <v>7</v>
      </c>
      <c r="C11" s="11"/>
      <c r="D11" s="5">
        <v>200</v>
      </c>
      <c r="F11" s="4"/>
      <c r="G11" s="16">
        <v>200</v>
      </c>
    </row>
    <row r="12" spans="1:11" x14ac:dyDescent="0.25">
      <c r="B12" s="10">
        <v>8</v>
      </c>
      <c r="C12" s="11"/>
      <c r="D12" s="5">
        <v>228</v>
      </c>
      <c r="F12" s="4"/>
      <c r="G12" s="16">
        <v>241</v>
      </c>
    </row>
    <row r="13" spans="1:11" x14ac:dyDescent="0.25">
      <c r="B13" s="10">
        <v>9</v>
      </c>
      <c r="C13" s="11" t="s">
        <v>4</v>
      </c>
      <c r="D13" s="5">
        <v>260</v>
      </c>
      <c r="F13" s="4" t="s">
        <v>4</v>
      </c>
      <c r="G13" s="17">
        <f>AVERAGE(G5:G12)</f>
        <v>270.75</v>
      </c>
    </row>
    <row r="14" spans="1:11" x14ac:dyDescent="0.25">
      <c r="B14" s="10">
        <v>10</v>
      </c>
      <c r="C14" s="11" t="s">
        <v>5</v>
      </c>
      <c r="D14" s="16">
        <v>55.177999999999997</v>
      </c>
      <c r="F14" s="4" t="s">
        <v>5</v>
      </c>
      <c r="G14" s="17">
        <f>STDEV(G5:G12)</f>
        <v>57.003132745991621</v>
      </c>
    </row>
    <row r="15" spans="1:11" x14ac:dyDescent="0.25">
      <c r="B15" s="10">
        <v>11</v>
      </c>
      <c r="C15" s="11" t="s">
        <v>6</v>
      </c>
      <c r="D15" s="16">
        <v>200</v>
      </c>
      <c r="F15" s="4"/>
      <c r="G15" s="6"/>
    </row>
    <row r="16" spans="1:11" x14ac:dyDescent="0.25">
      <c r="B16" s="10">
        <v>12</v>
      </c>
      <c r="C16" s="11" t="s">
        <v>7</v>
      </c>
      <c r="D16" s="16">
        <v>333</v>
      </c>
      <c r="F16" s="4"/>
      <c r="G16" s="6"/>
    </row>
    <row r="17" spans="2:7" x14ac:dyDescent="0.25">
      <c r="B17" s="4"/>
      <c r="C17" s="12"/>
      <c r="D17" s="6"/>
      <c r="F17" s="4"/>
      <c r="G17" s="6"/>
    </row>
    <row r="18" spans="2:7" ht="18" thickBot="1" x14ac:dyDescent="0.35">
      <c r="B18" s="13"/>
      <c r="C18" s="14" t="s">
        <v>13</v>
      </c>
      <c r="D18" s="8">
        <f>$J$9*10000*$J$6*D13</f>
        <v>2641048.1770833335</v>
      </c>
      <c r="F18" s="7" t="s">
        <v>13</v>
      </c>
      <c r="G18" s="8">
        <f>$J$9*10000*$J$6*G13</f>
        <v>2750245.3613281255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 of Arizona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grishagin</dc:creator>
  <cp:lastModifiedBy>grishagin</cp:lastModifiedBy>
  <dcterms:created xsi:type="dcterms:W3CDTF">2014-07-09T02:29:15Z</dcterms:created>
  <dcterms:modified xsi:type="dcterms:W3CDTF">2014-12-22T11:03:10Z</dcterms:modified>
</cp:coreProperties>
</file>