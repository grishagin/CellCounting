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grishagin\Documents\Custom Office Templates\"/>
    </mc:Choice>
  </mc:AlternateContent>
  <bookViews>
    <workbookView xWindow="360" yWindow="120" windowWidth="16152" windowHeight="12528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C15" i="1" l="1"/>
  <c r="C16" i="1" l="1"/>
  <c r="F6" i="1"/>
  <c r="C20" i="1" l="1"/>
  <c r="C22" i="1" l="1"/>
  <c r="C25" i="1"/>
  <c r="C26" i="1" s="1"/>
</calcChain>
</file>

<file path=xl/sharedStrings.xml><?xml version="1.0" encoding="utf-8"?>
<sst xmlns="http://schemas.openxmlformats.org/spreadsheetml/2006/main" count="18" uniqueCount="18">
  <si>
    <t>Count</t>
  </si>
  <si>
    <t>Mean</t>
  </si>
  <si>
    <t>SD</t>
  </si>
  <si>
    <t>Square Size</t>
  </si>
  <si>
    <t>H</t>
  </si>
  <si>
    <t>W</t>
  </si>
  <si>
    <t>Picture Size</t>
  </si>
  <si>
    <t>Cells per ml</t>
  </si>
  <si>
    <t>Factor</t>
  </si>
  <si>
    <t>Dilution</t>
  </si>
  <si>
    <t>PASTE YOUR DATA INTO GRAY FIELDS</t>
  </si>
  <si>
    <t>Volume, ml</t>
  </si>
  <si>
    <t>Total cells</t>
  </si>
  <si>
    <t>Target concentration, cells per ml</t>
  </si>
  <si>
    <t>Target volume, ml</t>
  </si>
  <si>
    <t>Media to add, ml</t>
  </si>
  <si>
    <t>CCM3</t>
  </si>
  <si>
    <t>Cell stock to take, 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</si>
</sst>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name val="Arial"/>
    </font>
    <font>
      <sz val="8"/>
      <name val="Arial"/>
    </font>
    <font>
      <sz val="14"/>
      <name val="Arial"/>
    </font>
    <font>
      <b/>
      <sz val="10"/>
      <name val="Arial"/>
      <family val="2"/>
      <charset val="204"/>
    </font>
    <font>
      <sz val="14"/>
      <name val="Arial"/>
      <family val="2"/>
    </font>
    <font>
      <sz val="11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theme="1" tint="0.49998474074526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4" xfId="0" applyFill="1" applyBorder="1"/>
    <xf numFmtId="0" fontId="0" fillId="0" borderId="4" xfId="0" applyBorder="1"/>
    <xf numFmtId="0" fontId="0" fillId="0" borderId="5" xfId="0" applyFill="1" applyBorder="1"/>
    <xf numFmtId="3" fontId="2" fillId="0" borderId="6" xfId="0" applyNumberFormat="1" applyFont="1" applyBorder="1"/>
    <xf numFmtId="0" fontId="3" fillId="0" borderId="0" xfId="0" applyFont="1"/>
    <xf numFmtId="1" fontId="0" fillId="2" borderId="4" xfId="0" applyNumberFormat="1" applyFill="1" applyBorder="1"/>
    <xf numFmtId="1" fontId="0" fillId="0" borderId="4" xfId="0" applyNumberFormat="1" applyBorder="1"/>
    <xf numFmtId="3" fontId="4" fillId="0" borderId="0" xfId="0" applyNumberFormat="1" applyFont="1"/>
    <xf numFmtId="0" fontId="0" fillId="0" borderId="0" xfId="0" applyAlignment="1">
      <alignment wrapText="1"/>
    </xf>
    <xf numFmtId="3" fontId="5" fillId="3" borderId="0" xfId="0" applyNumberFormat="1" applyFont="1" applyFill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/>
    <xf numFmtId="2" fontId="4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6"/>
  <sheetViews>
    <sheetView tabSelected="1" workbookViewId="0">
      <selection activeCell="E12" sqref="E12"/>
    </sheetView>
  </sheetViews>
  <sheetFormatPr defaultRowHeight="13.2" x14ac:dyDescent="0.25"/>
  <cols>
    <col min="2" max="2" width="17.44140625" customWidth="1"/>
    <col min="3" max="3" width="15.44140625" bestFit="1" customWidth="1"/>
    <col min="6" max="7" width="11.109375" bestFit="1" customWidth="1"/>
  </cols>
  <sheetData>
    <row r="1" spans="1:7" x14ac:dyDescent="0.25">
      <c r="A1" s="9" t="s">
        <v>10</v>
      </c>
    </row>
    <row r="2" spans="1:7" ht="13.8" thickBot="1" x14ac:dyDescent="0.3"/>
    <row r="3" spans="1:7" x14ac:dyDescent="0.25">
      <c r="B3" s="2" t="s">
        <v>16</v>
      </c>
      <c r="C3" s="3"/>
      <c r="F3" t="s">
        <v>3</v>
      </c>
      <c r="G3" t="s">
        <v>6</v>
      </c>
    </row>
    <row r="4" spans="1:7" x14ac:dyDescent="0.25">
      <c r="B4" s="4"/>
      <c r="C4" s="5" t="s">
        <v>0</v>
      </c>
      <c r="E4" t="s">
        <v>4</v>
      </c>
      <c r="F4" s="1">
        <v>736</v>
      </c>
      <c r="G4" s="1">
        <v>864</v>
      </c>
    </row>
    <row r="5" spans="1:7" x14ac:dyDescent="0.25">
      <c r="B5" s="4"/>
      <c r="C5" s="10">
        <v>57</v>
      </c>
      <c r="E5" t="s">
        <v>5</v>
      </c>
      <c r="F5" s="1">
        <v>736</v>
      </c>
      <c r="G5" s="1">
        <v>1296</v>
      </c>
    </row>
    <row r="6" spans="1:7" x14ac:dyDescent="0.25">
      <c r="B6" s="4"/>
      <c r="C6" s="10">
        <v>56</v>
      </c>
      <c r="E6" t="s">
        <v>8</v>
      </c>
      <c r="F6">
        <f>F4*F5/(G4*G5)</f>
        <v>0.48376771833561955</v>
      </c>
    </row>
    <row r="7" spans="1:7" x14ac:dyDescent="0.25">
      <c r="B7" s="4"/>
      <c r="C7" s="10">
        <v>78</v>
      </c>
    </row>
    <row r="8" spans="1:7" x14ac:dyDescent="0.25">
      <c r="B8" s="4"/>
      <c r="C8" s="10">
        <v>103</v>
      </c>
      <c r="F8" t="s">
        <v>9</v>
      </c>
      <c r="G8" t="s">
        <v>11</v>
      </c>
    </row>
    <row r="9" spans="1:7" x14ac:dyDescent="0.25">
      <c r="B9" s="4"/>
      <c r="C9" s="10">
        <v>74</v>
      </c>
      <c r="F9" s="1">
        <v>2</v>
      </c>
      <c r="G9" s="1">
        <v>10</v>
      </c>
    </row>
    <row r="10" spans="1:7" x14ac:dyDescent="0.25">
      <c r="B10" s="4"/>
      <c r="C10" s="10">
        <v>76</v>
      </c>
    </row>
    <row r="11" spans="1:7" x14ac:dyDescent="0.25">
      <c r="B11" s="4"/>
      <c r="C11" s="10">
        <v>56</v>
      </c>
    </row>
    <row r="12" spans="1:7" x14ac:dyDescent="0.25">
      <c r="B12" s="4"/>
      <c r="C12" s="10"/>
    </row>
    <row r="13" spans="1:7" x14ac:dyDescent="0.25">
      <c r="B13" s="4"/>
      <c r="C13" s="10">
        <v>72</v>
      </c>
    </row>
    <row r="14" spans="1:7" x14ac:dyDescent="0.25">
      <c r="B14" s="4"/>
      <c r="C14" s="10"/>
    </row>
    <row r="15" spans="1:7" x14ac:dyDescent="0.25">
      <c r="B15" s="4" t="s">
        <v>1</v>
      </c>
      <c r="C15" s="11">
        <f>AVERAGE(C5:C14)</f>
        <v>71.5</v>
      </c>
    </row>
    <row r="16" spans="1:7" x14ac:dyDescent="0.25">
      <c r="B16" s="4" t="s">
        <v>2</v>
      </c>
      <c r="C16" s="11">
        <f>STDEV(C5:C13)</f>
        <v>15.82042079989386</v>
      </c>
    </row>
    <row r="17" spans="2:3" x14ac:dyDescent="0.25">
      <c r="B17" s="4"/>
      <c r="C17" s="6"/>
    </row>
    <row r="18" spans="2:3" x14ac:dyDescent="0.25">
      <c r="B18" s="4"/>
      <c r="C18" s="6"/>
    </row>
    <row r="19" spans="2:3" x14ac:dyDescent="0.25">
      <c r="B19" s="4"/>
      <c r="C19" s="6"/>
    </row>
    <row r="20" spans="2:3" ht="18" thickBot="1" x14ac:dyDescent="0.35">
      <c r="B20" s="7" t="s">
        <v>7</v>
      </c>
      <c r="C20" s="8">
        <f>$F$9*10000*$F$6*C15</f>
        <v>691787.83721993596</v>
      </c>
    </row>
    <row r="22" spans="2:3" ht="17.399999999999999" x14ac:dyDescent="0.3">
      <c r="B22" t="s">
        <v>12</v>
      </c>
      <c r="C22" s="12">
        <f>C20*G9</f>
        <v>6917878.3721993593</v>
      </c>
    </row>
    <row r="23" spans="2:3" ht="39.6" x14ac:dyDescent="0.25">
      <c r="B23" s="13" t="s">
        <v>13</v>
      </c>
      <c r="C23" s="14">
        <v>70000</v>
      </c>
    </row>
    <row r="24" spans="2:3" ht="13.8" x14ac:dyDescent="0.25">
      <c r="B24" s="15" t="s">
        <v>14</v>
      </c>
      <c r="C24" s="14">
        <v>12</v>
      </c>
    </row>
    <row r="25" spans="2:3" ht="17.399999999999999" x14ac:dyDescent="0.3">
      <c r="B25" s="16" t="s">
        <v>17</v>
      </c>
      <c r="C25" s="17">
        <f>C23/C20*C24</f>
        <v>1.2142451121657172</v>
      </c>
    </row>
    <row r="26" spans="2:3" ht="17.399999999999999" x14ac:dyDescent="0.3">
      <c r="B26" s="16" t="s">
        <v>15</v>
      </c>
      <c r="C26" s="17">
        <f>C24-C25</f>
        <v>10.785754887834283</v>
      </c>
    </row>
  </sheetData>
  <phoneticPr fontId="1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2" x14ac:dyDescent="0.2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2" x14ac:dyDescent="0.2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 of Arizona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grishagin</dc:creator>
  <cp:lastModifiedBy>grishagin</cp:lastModifiedBy>
  <dcterms:created xsi:type="dcterms:W3CDTF">2014-07-09T02:29:15Z</dcterms:created>
  <dcterms:modified xsi:type="dcterms:W3CDTF">2015-06-01T09:07:11Z</dcterms:modified>
</cp:coreProperties>
</file>